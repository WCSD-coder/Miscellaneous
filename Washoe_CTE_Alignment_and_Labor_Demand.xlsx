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artzog/Downloads/"/>
    </mc:Choice>
  </mc:AlternateContent>
  <xr:revisionPtr revIDLastSave="0" documentId="13_ncr:1_{75F05438-BDC7-6044-AB4C-211A68BBB011}" xr6:coauthVersionLast="47" xr6:coauthVersionMax="47" xr10:uidLastSave="{00000000-0000-0000-0000-000000000000}"/>
  <bookViews>
    <workbookView xWindow="0" yWindow="760" windowWidth="34560" windowHeight="19860" xr2:uid="{00000000-000D-0000-FFFF-FFFF00000000}"/>
  </bookViews>
  <sheets>
    <sheet name="CTE Alignment" sheetId="1" r:id="rId1"/>
    <sheet name="Labor Demand" sheetId="2" r:id="rId2"/>
  </sheets>
  <definedNames>
    <definedName name="_xlnm.Print_Titles" localSheetId="1">'Labor Demand'!$1:$1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D16" i="1"/>
  <c r="E16" i="1" s="1"/>
  <c r="F16" i="1" s="1"/>
  <c r="E15" i="1"/>
  <c r="F15" i="1" s="1"/>
  <c r="D15" i="1"/>
  <c r="D14" i="1"/>
  <c r="E14" i="1" s="1"/>
  <c r="F14" i="1" s="1"/>
  <c r="D13" i="1"/>
  <c r="E13" i="1" s="1"/>
  <c r="F13" i="1" s="1"/>
  <c r="D12" i="1"/>
  <c r="E12" i="1" s="1"/>
  <c r="F12" i="1" s="1"/>
  <c r="D11" i="1"/>
  <c r="E11" i="1" s="1"/>
  <c r="F11" i="1" s="1"/>
  <c r="D10" i="1"/>
  <c r="E10" i="1" s="1"/>
  <c r="F10" i="1" s="1"/>
  <c r="D9" i="1"/>
  <c r="E9" i="1" s="1"/>
  <c r="F9" i="1" s="1"/>
  <c r="D8" i="1"/>
  <c r="E8" i="1" s="1"/>
  <c r="F8" i="1" s="1"/>
  <c r="D7" i="1"/>
  <c r="D6" i="1"/>
  <c r="E6" i="1" s="1"/>
  <c r="F6" i="1" s="1"/>
  <c r="D5" i="1"/>
  <c r="E5" i="1" s="1"/>
  <c r="F5" i="1" s="1"/>
  <c r="D4" i="1"/>
  <c r="E4" i="1" s="1"/>
  <c r="F4" i="1" s="1"/>
  <c r="D3" i="1"/>
  <c r="E3" i="1" s="1"/>
  <c r="F3" i="1" s="1"/>
  <c r="D2" i="1"/>
  <c r="E2" i="1" s="1"/>
  <c r="F2" i="1" s="1"/>
  <c r="D17" i="1" l="1"/>
  <c r="E7" i="1"/>
  <c r="F7" i="1" s="1"/>
</calcChain>
</file>

<file path=xl/sharedStrings.xml><?xml version="1.0" encoding="utf-8"?>
<sst xmlns="http://schemas.openxmlformats.org/spreadsheetml/2006/main" count="81" uniqueCount="54">
  <si>
    <t>Career Cluster</t>
  </si>
  <si>
    <t>Percent of Washoe Occupations (2032)</t>
  </si>
  <si>
    <t>Students Enrolled (SY25-26)</t>
  </si>
  <si>
    <t>Percentage of Washoe CTE (2025)</t>
  </si>
  <si>
    <t>Proportionality Index</t>
  </si>
  <si>
    <t>Interpretation</t>
  </si>
  <si>
    <t>Priority Index Score</t>
  </si>
  <si>
    <t>Aligned WCSD Programs</t>
  </si>
  <si>
    <t>Business Management &amp; Administration</t>
  </si>
  <si>
    <t>Business Management, Entrepreneurship</t>
  </si>
  <si>
    <t>Architecture &amp; Construction</t>
  </si>
  <si>
    <t>Construction Technology</t>
  </si>
  <si>
    <t>Transportation, Distribution &amp; Logistics</t>
  </si>
  <si>
    <t>Aviation, Automotive Technology</t>
  </si>
  <si>
    <t>Health Science</t>
  </si>
  <si>
    <t>Health Science, Nursing Assistant, Practical Nursing, Biomedical Science, Sports Medicine, Emergency Medical Services (EMT)</t>
  </si>
  <si>
    <t>Information Technology</t>
  </si>
  <si>
    <t>Computer Science, Cybersecurity, Web Design</t>
  </si>
  <si>
    <t>Agriculture, Food &amp; Natural Resources</t>
  </si>
  <si>
    <t>Agricultural Science, Natural Resources &amp; Animal Sciences</t>
  </si>
  <si>
    <t>STEM</t>
  </si>
  <si>
    <t>Engineering</t>
  </si>
  <si>
    <t>Marketing</t>
  </si>
  <si>
    <t>Marketing, Marketing &amp; Multimedia</t>
  </si>
  <si>
    <t>Education &amp; Training</t>
  </si>
  <si>
    <t>Teaching &amp; Training</t>
  </si>
  <si>
    <t>Law, Public Safety, Corrections &amp; Security</t>
  </si>
  <si>
    <t>Criminal Justice, Fire Science</t>
  </si>
  <si>
    <t>Manufacturing</t>
  </si>
  <si>
    <t>Welding &amp; Metalworking, Manufacturing Technology</t>
  </si>
  <si>
    <t>Government &amp; Public Administration</t>
  </si>
  <si>
    <t>Military Science (JROTC)</t>
  </si>
  <si>
    <t>Human Services</t>
  </si>
  <si>
    <t>Human &amp; Social Services, Family &amp; Consumer Sciences</t>
  </si>
  <si>
    <t>Arts, A/V Technology, and Communication</t>
  </si>
  <si>
    <t>Graphic Design, Multimedia Communications, Video Production, Communication Arts &amp; Media</t>
  </si>
  <si>
    <t>Hospitality &amp; Tourism</t>
  </si>
  <si>
    <t>Culinary Arts, Hospitality &amp; Tourism</t>
  </si>
  <si>
    <t>Total</t>
  </si>
  <si>
    <t>Interpretation threshold (±)</t>
  </si>
  <si>
    <t>Proportionality Index = Percentage of Washoe CTE minus Percent of Washoe Occupations.</t>
  </si>
  <si>
    <t>Interpretation: Overrepresented if the index is above the threshold, Underrepresented if below the negative threshold, otherwise Balanced.</t>
  </si>
  <si>
    <t>Finance is not tracked as a separate cluster in this view; occupations above total about 99%.</t>
  </si>
  <si>
    <t>Annual Openings</t>
  </si>
  <si>
    <t>Median
Wages</t>
  </si>
  <si>
    <t xml:space="preserve">Projected New Jobs (10 Years) </t>
  </si>
  <si>
    <t>Projected Growth (10 Years)</t>
  </si>
  <si>
    <t>Arts, Audio/Video Technology &amp; Communications</t>
  </si>
  <si>
    <t>Science, Technology, Engineering &amp; Mathematics</t>
  </si>
  <si>
    <t>Finance</t>
  </si>
  <si>
    <t>Business Management</t>
  </si>
  <si>
    <t>Health Science, Nursing Assistant, Practical Nursing, Biomedical Science, Sports Medicine, Emergency Medical Technician (EMT)</t>
  </si>
  <si>
    <t>Plant Systems, Animal Systems, Ag Welding Tech Power &amp; Structure</t>
  </si>
  <si>
    <t>Marketing, Multimedia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</si>
</sst>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\(\$#,##0\)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name val="Aptos Narrow"/>
    </font>
    <font>
      <sz val="12"/>
      <name val="Aptos Narrow"/>
    </font>
    <font>
      <sz val="12"/>
      <color rgb="FF0000FF"/>
      <name val="Aptos Narrow"/>
    </font>
    <font>
      <i/>
      <sz val="11"/>
      <name val="Aptos Narrow"/>
    </font>
    <font>
      <b/>
      <sz val="12"/>
      <color theme="0"/>
      <name val="Aptos Narrow"/>
    </font>
    <font>
      <sz val="12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2" fillId="0" borderId="0"/>
  </cellStyleXfs>
  <cellXfs count="23">
    <xf numFmtId="0" fontId="1" fillId="0" borderId="0" xfId="0" applyFont="1" applyAlignment="1">
      <alignment horizontal="center" vertical="top" wrapText="1"/>
    </xf>
    <xf numFmtId="9" fontId="1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9" fontId="3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9" fontId="4" fillId="0" borderId="0" xfId="1" applyFont="1" applyAlignment="1">
      <alignment horizontal="center" vertical="top"/>
    </xf>
    <xf numFmtId="0" fontId="0" fillId="0" borderId="0" xfId="0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0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left"/>
    </xf>
    <xf numFmtId="10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0" xfId="0" applyFont="1"/>
    <xf numFmtId="9" fontId="7" fillId="0" borderId="0" xfId="0" applyNumberFormat="1" applyFont="1"/>
    <xf numFmtId="0" fontId="8" fillId="0" borderId="0" xfId="0" applyFont="1"/>
    <xf numFmtId="0" fontId="4" fillId="0" borderId="0" xfId="0" applyFont="1" applyAlignment="1">
      <alignment vertical="top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12">
    <dxf>
      <font>
        <strike val="0"/>
        <outline val="0"/>
        <shadow val="0"/>
        <u val="none"/>
        <vertAlign val="baseline"/>
        <sz val="12"/>
        <color theme="0"/>
        <name val="Aptos Narrow"/>
        <scheme val="none"/>
      </font>
    </dxf>
    <dxf>
      <font>
        <b/>
        <color rgb="FFC00000"/>
        <name val="Aptos Narrow"/>
      </font>
    </dxf>
    <dxf>
      <font>
        <b/>
        <color rgb="FF00B050"/>
        <name val="Aptos Narrow"/>
      </font>
    </dxf>
    <dxf>
      <font>
        <b/>
        <color rgb="FFE97132"/>
        <name val="Aptos Narrow"/>
      </font>
    </dxf>
    <dxf>
      <font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alignment horizontal="center" vertical="top"/>
    </dxf>
    <dxf>
      <font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alignment horizontal="center" vertical="top"/>
    </dxf>
    <dxf>
      <font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alignment horizontal="center" vertical="top"/>
    </dxf>
    <dxf>
      <font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numFmt numFmtId="164" formatCode="\$#,##0_);\(\$#,##0\)"/>
      <alignment horizontal="center" vertical="top"/>
    </dxf>
    <dxf>
      <font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alignment horizontal="center" vertical="top"/>
    </dxf>
    <dxf>
      <font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alignment horizontal="center" vertical="top"/>
    </dxf>
    <dxf>
      <font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alignment horizontal="center" vertical="top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TEAlignment" displayName="CTEAlignment" ref="A1:H16" headerRowDxfId="0">
  <autoFilter ref="A1:H16" xr:uid="{00000000-0009-0000-0100-000001000000}"/>
  <tableColumns count="8">
    <tableColumn id="1" xr3:uid="{00000000-0010-0000-0000-000001000000}" name="Career Cluster"/>
    <tableColumn id="2" xr3:uid="{00000000-0010-0000-0000-000002000000}" name="Percent of Washoe Occupations (2032)"/>
    <tableColumn id="3" xr3:uid="{00000000-0010-0000-0000-000003000000}" name="Students Enrolled (SY25-26)"/>
    <tableColumn id="4" xr3:uid="{00000000-0010-0000-0000-000004000000}" name="Percentage of Washoe CTE (2025)"/>
    <tableColumn id="5" xr3:uid="{00000000-0010-0000-0000-000005000000}" name="Proportionality Index"/>
    <tableColumn id="6" xr3:uid="{00000000-0010-0000-0000-000006000000}" name="Interpretation"/>
    <tableColumn id="7" xr3:uid="{00000000-0010-0000-0000-000007000000}" name="Priority Index Score"/>
    <tableColumn id="8" xr3:uid="{00000000-0010-0000-0000-000008000000}" name="Aligned WCSD Program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F17" totalsRowShown="0" headerRowDxfId="11" dataDxfId="10">
  <autoFilter ref="A1:F17" xr:uid="{00000000-0009-0000-0100-000002000000}"/>
  <tableColumns count="6">
    <tableColumn id="1" xr3:uid="{00000000-0010-0000-0100-000001000000}" name="Career Cluster" dataDxfId="9"/>
    <tableColumn id="2" xr3:uid="{00000000-0010-0000-0100-000002000000}" name="Annual Openings" dataDxfId="8"/>
    <tableColumn id="3" xr3:uid="{00000000-0010-0000-0100-000003000000}" name="Median_x000a_Wages" dataDxfId="7"/>
    <tableColumn id="4" xr3:uid="{00000000-0010-0000-0100-000004000000}" name="Projected New Jobs (10 Years) " dataDxfId="6"/>
    <tableColumn id="5" xr3:uid="{00000000-0010-0000-0100-000005000000}" name="Projected Growth (10 Years)" dataDxfId="5" dataCellStyle="Percent"/>
    <tableColumn id="6" xr3:uid="{00000000-0010-0000-0100-000006000000}" name="Aligned WCSD Programs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17" sqref="E17"/>
    </sheetView>
  </sheetViews>
  <sheetFormatPr baseColWidth="10" defaultColWidth="8.83203125" defaultRowHeight="15"/>
  <cols>
    <col min="1" max="1" width="44" style="7" customWidth="1"/>
    <col min="2" max="2" width="18" style="7" customWidth="1"/>
    <col min="3" max="3" width="16" style="7" customWidth="1"/>
    <col min="4" max="4" width="18" style="7" customWidth="1"/>
    <col min="5" max="5" width="16" style="7" customWidth="1"/>
    <col min="6" max="6" width="20" style="7" customWidth="1"/>
    <col min="7" max="7" width="14" style="7" customWidth="1"/>
    <col min="8" max="8" width="60" style="7" customWidth="1"/>
  </cols>
  <sheetData>
    <row r="1" spans="1:8" ht="48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0" t="s">
        <v>7</v>
      </c>
    </row>
    <row r="2" spans="1:8" ht="17">
      <c r="A2" s="9" t="s">
        <v>8</v>
      </c>
      <c r="B2" s="10">
        <v>0.25409999999999999</v>
      </c>
      <c r="C2" s="11">
        <v>107</v>
      </c>
      <c r="D2" s="10">
        <f t="shared" ref="D2:D16" si="0">C2/SUM($C$2:$C$16)</f>
        <v>1.2885356454720616E-2</v>
      </c>
      <c r="E2" s="10">
        <f t="shared" ref="E2:E16" si="1">D2-B2</f>
        <v>-0.24121464354527938</v>
      </c>
      <c r="F2" s="8" t="str">
        <f t="shared" ref="F2:F16" si="2">IF(E2&gt;$B$20,"Overrepresented",IF(E2&lt;-$B$20,"Underrepresented","Balanced"))</f>
        <v>Underrepresented</v>
      </c>
      <c r="G2" s="12">
        <v>65.72</v>
      </c>
      <c r="H2" s="9" t="s">
        <v>9</v>
      </c>
    </row>
    <row r="3" spans="1:8" ht="17">
      <c r="A3" s="9" t="s">
        <v>10</v>
      </c>
      <c r="B3" s="10">
        <v>0.1666</v>
      </c>
      <c r="C3" s="11">
        <v>217</v>
      </c>
      <c r="D3" s="10">
        <f t="shared" si="0"/>
        <v>2.613198458574181E-2</v>
      </c>
      <c r="E3" s="10">
        <f t="shared" si="1"/>
        <v>-0.14046801541425818</v>
      </c>
      <c r="F3" s="8" t="str">
        <f t="shared" si="2"/>
        <v>Underrepresented</v>
      </c>
      <c r="G3" s="12">
        <v>47.23</v>
      </c>
      <c r="H3" s="9" t="s">
        <v>11</v>
      </c>
    </row>
    <row r="4" spans="1:8" ht="17">
      <c r="A4" s="9" t="s">
        <v>12</v>
      </c>
      <c r="B4" s="10">
        <v>0.12939999999999999</v>
      </c>
      <c r="C4" s="11">
        <v>457</v>
      </c>
      <c r="D4" s="10">
        <f t="shared" si="0"/>
        <v>5.5033718689788055E-2</v>
      </c>
      <c r="E4" s="10">
        <f t="shared" si="1"/>
        <v>-7.4366281310211932E-2</v>
      </c>
      <c r="F4" s="8" t="str">
        <f t="shared" si="2"/>
        <v>Underrepresented</v>
      </c>
      <c r="G4" s="12">
        <v>44.68</v>
      </c>
      <c r="H4" s="9" t="s">
        <v>13</v>
      </c>
    </row>
    <row r="5" spans="1:8" ht="34">
      <c r="A5" s="9" t="s">
        <v>14</v>
      </c>
      <c r="B5" s="10">
        <v>7.8899999999999998E-2</v>
      </c>
      <c r="C5" s="11">
        <v>1017</v>
      </c>
      <c r="D5" s="10">
        <f t="shared" si="0"/>
        <v>0.12247109826589596</v>
      </c>
      <c r="E5" s="10">
        <f t="shared" si="1"/>
        <v>4.3571098265895961E-2</v>
      </c>
      <c r="F5" s="8" t="str">
        <f t="shared" si="2"/>
        <v>Balanced</v>
      </c>
      <c r="G5" s="12">
        <v>39.020000000000003</v>
      </c>
      <c r="H5" s="22" t="s">
        <v>51</v>
      </c>
    </row>
    <row r="6" spans="1:8" ht="17">
      <c r="A6" s="9" t="s">
        <v>16</v>
      </c>
      <c r="B6" s="10">
        <v>2.0400000000000001E-2</v>
      </c>
      <c r="C6" s="11">
        <v>485</v>
      </c>
      <c r="D6" s="10">
        <f t="shared" si="0"/>
        <v>5.8405587668593446E-2</v>
      </c>
      <c r="E6" s="10">
        <f t="shared" si="1"/>
        <v>3.8005587668593445E-2</v>
      </c>
      <c r="F6" s="8" t="str">
        <f t="shared" si="2"/>
        <v>Balanced</v>
      </c>
      <c r="G6" s="12">
        <v>35.94</v>
      </c>
      <c r="H6" s="9" t="s">
        <v>17</v>
      </c>
    </row>
    <row r="7" spans="1:8" ht="17">
      <c r="A7" s="9" t="s">
        <v>18</v>
      </c>
      <c r="B7" s="10">
        <v>4.3E-3</v>
      </c>
      <c r="C7" s="11">
        <v>480</v>
      </c>
      <c r="D7" s="10">
        <f t="shared" si="0"/>
        <v>5.7803468208092484E-2</v>
      </c>
      <c r="E7" s="10">
        <f t="shared" si="1"/>
        <v>5.3503468208092486E-2</v>
      </c>
      <c r="F7" s="8" t="str">
        <f t="shared" si="2"/>
        <v>Overrepresented</v>
      </c>
      <c r="G7" s="12">
        <v>27.69</v>
      </c>
      <c r="H7" s="22" t="s">
        <v>52</v>
      </c>
    </row>
    <row r="8" spans="1:8" ht="17">
      <c r="A8" s="9" t="s">
        <v>20</v>
      </c>
      <c r="B8" s="10">
        <v>1.09E-2</v>
      </c>
      <c r="C8" s="11">
        <v>584</v>
      </c>
      <c r="D8" s="10">
        <f t="shared" si="0"/>
        <v>7.0327552986512526E-2</v>
      </c>
      <c r="E8" s="10">
        <f t="shared" si="1"/>
        <v>5.9427552986512526E-2</v>
      </c>
      <c r="F8" s="8" t="str">
        <f t="shared" si="2"/>
        <v>Overrepresented</v>
      </c>
      <c r="G8" s="12">
        <v>27</v>
      </c>
      <c r="H8" s="9" t="s">
        <v>21</v>
      </c>
    </row>
    <row r="9" spans="1:8" ht="17">
      <c r="A9" s="9" t="s">
        <v>22</v>
      </c>
      <c r="B9" s="10">
        <v>6.88E-2</v>
      </c>
      <c r="C9" s="11">
        <v>17</v>
      </c>
      <c r="D9" s="10">
        <f t="shared" si="0"/>
        <v>2.0472061657032755E-3</v>
      </c>
      <c r="E9" s="10">
        <f t="shared" si="1"/>
        <v>-6.675279383429672E-2</v>
      </c>
      <c r="F9" s="8" t="str">
        <f t="shared" si="2"/>
        <v>Underrepresented</v>
      </c>
      <c r="G9" s="12">
        <v>26.49</v>
      </c>
      <c r="H9" s="22" t="s">
        <v>53</v>
      </c>
    </row>
    <row r="10" spans="1:8" ht="17">
      <c r="A10" s="9" t="s">
        <v>24</v>
      </c>
      <c r="B10" s="10">
        <v>3.95E-2</v>
      </c>
      <c r="C10" s="11">
        <v>333</v>
      </c>
      <c r="D10" s="10">
        <f t="shared" si="0"/>
        <v>4.0101156069364159E-2</v>
      </c>
      <c r="E10" s="10">
        <f t="shared" si="1"/>
        <v>6.0115606936415877E-4</v>
      </c>
      <c r="F10" s="8" t="str">
        <f t="shared" si="2"/>
        <v>Balanced</v>
      </c>
      <c r="G10" s="12">
        <v>25.29</v>
      </c>
      <c r="H10" s="9" t="s">
        <v>25</v>
      </c>
    </row>
    <row r="11" spans="1:8" ht="17">
      <c r="A11" s="9" t="s">
        <v>26</v>
      </c>
      <c r="B11" s="10">
        <v>1.4999999999999999E-2</v>
      </c>
      <c r="C11" s="11">
        <v>283</v>
      </c>
      <c r="D11" s="10">
        <f t="shared" si="0"/>
        <v>3.4079961464354526E-2</v>
      </c>
      <c r="E11" s="10">
        <f t="shared" si="1"/>
        <v>1.9079961464354527E-2</v>
      </c>
      <c r="F11" s="8" t="str">
        <f t="shared" si="2"/>
        <v>Balanced</v>
      </c>
      <c r="G11" s="12">
        <v>20.81</v>
      </c>
      <c r="H11" s="9" t="s">
        <v>27</v>
      </c>
    </row>
    <row r="12" spans="1:8" ht="17">
      <c r="A12" s="9" t="s">
        <v>28</v>
      </c>
      <c r="B12" s="10">
        <v>6.9500000000000006E-2</v>
      </c>
      <c r="C12" s="11">
        <v>636</v>
      </c>
      <c r="D12" s="10">
        <f t="shared" si="0"/>
        <v>7.6589595375722547E-2</v>
      </c>
      <c r="E12" s="10">
        <f t="shared" si="1"/>
        <v>7.0895953757225405E-3</v>
      </c>
      <c r="F12" s="8" t="str">
        <f t="shared" si="2"/>
        <v>Balanced</v>
      </c>
      <c r="G12" s="12">
        <v>20.57</v>
      </c>
      <c r="H12" s="9" t="s">
        <v>29</v>
      </c>
    </row>
    <row r="13" spans="1:8" ht="17">
      <c r="A13" s="9" t="s">
        <v>30</v>
      </c>
      <c r="B13" s="10">
        <v>6.4999999999999997E-3</v>
      </c>
      <c r="C13" s="11">
        <v>1391</v>
      </c>
      <c r="D13" s="10">
        <f t="shared" si="0"/>
        <v>0.16750963391136803</v>
      </c>
      <c r="E13" s="10">
        <f t="shared" si="1"/>
        <v>0.16100963391136802</v>
      </c>
      <c r="F13" s="8" t="str">
        <f t="shared" si="2"/>
        <v>Overrepresented</v>
      </c>
      <c r="G13" s="12">
        <v>20.3</v>
      </c>
      <c r="H13" s="9" t="s">
        <v>31</v>
      </c>
    </row>
    <row r="14" spans="1:8" ht="17">
      <c r="A14" s="9" t="s">
        <v>32</v>
      </c>
      <c r="B14" s="10">
        <v>0.04</v>
      </c>
      <c r="C14" s="11">
        <v>441</v>
      </c>
      <c r="D14" s="10">
        <f t="shared" si="0"/>
        <v>5.3106936416184969E-2</v>
      </c>
      <c r="E14" s="10">
        <f t="shared" si="1"/>
        <v>1.3106936416184968E-2</v>
      </c>
      <c r="F14" s="8" t="str">
        <f t="shared" si="2"/>
        <v>Balanced</v>
      </c>
      <c r="G14" s="12">
        <v>20.22</v>
      </c>
      <c r="H14" s="9" t="s">
        <v>33</v>
      </c>
    </row>
    <row r="15" spans="1:8" ht="34">
      <c r="A15" s="9" t="s">
        <v>34</v>
      </c>
      <c r="B15" s="10">
        <v>1.2200000000000001E-2</v>
      </c>
      <c r="C15" s="11">
        <v>454</v>
      </c>
      <c r="D15" s="10">
        <f t="shared" si="0"/>
        <v>5.4672447013487474E-2</v>
      </c>
      <c r="E15" s="10">
        <f t="shared" si="1"/>
        <v>4.2472447013487472E-2</v>
      </c>
      <c r="F15" s="8" t="str">
        <f t="shared" si="2"/>
        <v>Balanced</v>
      </c>
      <c r="G15" s="12">
        <v>14.51</v>
      </c>
      <c r="H15" s="9" t="s">
        <v>35</v>
      </c>
    </row>
    <row r="16" spans="1:8" ht="17">
      <c r="A16" s="9" t="s">
        <v>36</v>
      </c>
      <c r="B16" s="10">
        <v>7.4300000000000005E-2</v>
      </c>
      <c r="C16" s="11">
        <v>1402</v>
      </c>
      <c r="D16" s="10">
        <f t="shared" si="0"/>
        <v>0.16883429672447015</v>
      </c>
      <c r="E16" s="10">
        <f t="shared" si="1"/>
        <v>9.453429672447014E-2</v>
      </c>
      <c r="F16" s="8" t="str">
        <f t="shared" si="2"/>
        <v>Overrepresented</v>
      </c>
      <c r="G16" s="12">
        <v>14.51</v>
      </c>
      <c r="H16" s="9" t="s">
        <v>37</v>
      </c>
    </row>
    <row r="17" spans="1:4" ht="16">
      <c r="A17" s="13" t="s">
        <v>38</v>
      </c>
      <c r="B17" s="14">
        <f>SUM(B2:B16)</f>
        <v>0.99039999999999984</v>
      </c>
      <c r="C17" s="15">
        <f>SUM(C2:C16)</f>
        <v>8304</v>
      </c>
      <c r="D17" s="14">
        <f>SUM(D2:D16)</f>
        <v>1</v>
      </c>
    </row>
    <row r="20" spans="1:4" ht="16">
      <c r="A20" s="16" t="s">
        <v>39</v>
      </c>
      <c r="B20" s="17">
        <v>0.05</v>
      </c>
    </row>
    <row r="21" spans="1:4">
      <c r="A21" s="18" t="s">
        <v>40</v>
      </c>
    </row>
    <row r="22" spans="1:4">
      <c r="A22" s="18" t="s">
        <v>41</v>
      </c>
    </row>
    <row r="23" spans="1:4">
      <c r="A23" s="18" t="s">
        <v>42</v>
      </c>
    </row>
  </sheetData>
  <conditionalFormatting sqref="F2:F16">
    <cfRule type="expression" dxfId="3" priority="1">
      <formula>F2="Underrepresented"</formula>
    </cfRule>
    <cfRule type="expression" dxfId="2" priority="2">
      <formula>F2="Balanced"</formula>
    </cfRule>
    <cfRule type="expression" dxfId="1" priority="3">
      <formula>F2="Overrepresented"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pane ySplit="1" topLeftCell="A2" activePane="bottomLeft" state="frozen"/>
      <selection activeCell="F7" sqref="F7"/>
      <selection pane="bottomLeft" activeCell="B28" sqref="B28"/>
    </sheetView>
  </sheetViews>
  <sheetFormatPr baseColWidth="10" defaultColWidth="8.83203125" defaultRowHeight="15"/>
  <cols>
    <col min="1" max="1" width="51.6640625" style="7" customWidth="1"/>
    <col min="2" max="2" width="27" style="7" customWidth="1"/>
    <col min="3" max="3" width="23.33203125" style="7" customWidth="1"/>
    <col min="4" max="4" width="35.5" style="7" customWidth="1"/>
    <col min="5" max="5" width="34.6640625" style="1" customWidth="1"/>
    <col min="6" max="6" width="60" style="7" customWidth="1"/>
  </cols>
  <sheetData>
    <row r="1" spans="1:6" ht="40" customHeight="1">
      <c r="A1" s="2" t="s">
        <v>0</v>
      </c>
      <c r="B1" s="2" t="s">
        <v>43</v>
      </c>
      <c r="C1" s="2" t="s">
        <v>44</v>
      </c>
      <c r="D1" s="2" t="s">
        <v>45</v>
      </c>
      <c r="E1" s="3" t="s">
        <v>46</v>
      </c>
      <c r="F1" s="3" t="s">
        <v>7</v>
      </c>
    </row>
    <row r="2" spans="1:6" ht="19" customHeight="1">
      <c r="A2" s="4" t="s">
        <v>32</v>
      </c>
      <c r="B2" s="4">
        <v>796</v>
      </c>
      <c r="C2" s="5">
        <v>41660</v>
      </c>
      <c r="D2" s="4">
        <v>1118</v>
      </c>
      <c r="E2" s="6">
        <v>0.20585527527158901</v>
      </c>
      <c r="F2" s="19" t="s">
        <v>33</v>
      </c>
    </row>
    <row r="3" spans="1:6" ht="19" customHeight="1">
      <c r="A3" s="4" t="s">
        <v>47</v>
      </c>
      <c r="B3" s="4">
        <v>285</v>
      </c>
      <c r="C3" s="5">
        <v>42137</v>
      </c>
      <c r="D3" s="4">
        <v>445</v>
      </c>
      <c r="E3" s="6">
        <v>0.19620811287477949</v>
      </c>
      <c r="F3" s="19" t="s">
        <v>35</v>
      </c>
    </row>
    <row r="4" spans="1:6" ht="19" customHeight="1">
      <c r="A4" s="4" t="s">
        <v>36</v>
      </c>
      <c r="B4" s="4">
        <v>6448</v>
      </c>
      <c r="C4" s="5">
        <v>25714</v>
      </c>
      <c r="D4" s="4">
        <v>6250</v>
      </c>
      <c r="E4" s="6">
        <v>0.19346850332765819</v>
      </c>
      <c r="F4" s="19" t="s">
        <v>37</v>
      </c>
    </row>
    <row r="5" spans="1:6" ht="19" customHeight="1">
      <c r="A5" s="4" t="s">
        <v>26</v>
      </c>
      <c r="B5" s="4">
        <v>525</v>
      </c>
      <c r="C5" s="5">
        <v>66248</v>
      </c>
      <c r="D5" s="4">
        <v>782</v>
      </c>
      <c r="E5" s="6">
        <v>0.1839567160668078</v>
      </c>
      <c r="F5" s="19" t="s">
        <v>27</v>
      </c>
    </row>
    <row r="6" spans="1:6" ht="19" customHeight="1">
      <c r="A6" s="4" t="s">
        <v>10</v>
      </c>
      <c r="B6" s="4">
        <v>2624</v>
      </c>
      <c r="C6" s="5">
        <v>52332</v>
      </c>
      <c r="D6" s="4">
        <v>3895</v>
      </c>
      <c r="E6" s="6">
        <v>0.1828380979204807</v>
      </c>
      <c r="F6" s="19" t="s">
        <v>11</v>
      </c>
    </row>
    <row r="7" spans="1:6" ht="19" customHeight="1">
      <c r="A7" s="4" t="s">
        <v>22</v>
      </c>
      <c r="B7" s="4">
        <v>3780</v>
      </c>
      <c r="C7" s="5">
        <v>39799</v>
      </c>
      <c r="D7" s="4">
        <v>4351</v>
      </c>
      <c r="E7" s="6">
        <v>0.1825926392211171</v>
      </c>
      <c r="F7" s="19" t="s">
        <v>23</v>
      </c>
    </row>
    <row r="8" spans="1:6" ht="19" customHeight="1">
      <c r="A8" s="4" t="s">
        <v>48</v>
      </c>
      <c r="B8" s="4">
        <v>246</v>
      </c>
      <c r="C8" s="5">
        <v>84868</v>
      </c>
      <c r="D8" s="4">
        <v>444</v>
      </c>
      <c r="E8" s="6">
        <v>0.18100285364859359</v>
      </c>
      <c r="F8" s="19" t="s">
        <v>21</v>
      </c>
    </row>
    <row r="9" spans="1:6" ht="19" customHeight="1">
      <c r="A9" s="4" t="s">
        <v>14</v>
      </c>
      <c r="B9" s="4">
        <v>1561</v>
      </c>
      <c r="C9" s="5">
        <v>68971</v>
      </c>
      <c r="D9" s="4">
        <v>2790</v>
      </c>
      <c r="E9" s="6">
        <v>0.1786285933798579</v>
      </c>
      <c r="F9" s="19" t="s">
        <v>15</v>
      </c>
    </row>
    <row r="10" spans="1:6" ht="19" customHeight="1">
      <c r="A10" s="4" t="s">
        <v>16</v>
      </c>
      <c r="B10" s="4">
        <v>255</v>
      </c>
      <c r="C10" s="5">
        <v>69030</v>
      </c>
      <c r="D10" s="4">
        <v>480</v>
      </c>
      <c r="E10" s="6">
        <v>0.1749908858913598</v>
      </c>
      <c r="F10" s="19" t="s">
        <v>17</v>
      </c>
    </row>
    <row r="11" spans="1:6" ht="19" customHeight="1">
      <c r="A11" s="4" t="s">
        <v>49</v>
      </c>
      <c r="B11" s="4">
        <v>767</v>
      </c>
      <c r="C11" s="5">
        <v>60738</v>
      </c>
      <c r="D11" s="4">
        <v>1117</v>
      </c>
      <c r="E11" s="6">
        <v>0.1568159483363751</v>
      </c>
      <c r="F11" s="19" t="s">
        <v>50</v>
      </c>
    </row>
    <row r="12" spans="1:6" ht="19" customHeight="1">
      <c r="A12" s="4" t="s">
        <v>12</v>
      </c>
      <c r="B12" s="4">
        <v>3089</v>
      </c>
      <c r="C12" s="5">
        <v>40940</v>
      </c>
      <c r="D12" s="4">
        <v>3270</v>
      </c>
      <c r="E12" s="6">
        <v>0.14906322651228521</v>
      </c>
      <c r="F12" s="19" t="s">
        <v>13</v>
      </c>
    </row>
    <row r="13" spans="1:6" ht="19" customHeight="1">
      <c r="A13" s="4" t="s">
        <v>28</v>
      </c>
      <c r="B13" s="4">
        <v>1440</v>
      </c>
      <c r="C13" s="5">
        <v>47022</v>
      </c>
      <c r="D13" s="4">
        <v>1684</v>
      </c>
      <c r="E13" s="6">
        <v>0.14255481249470919</v>
      </c>
      <c r="F13" s="19" t="s">
        <v>29</v>
      </c>
    </row>
    <row r="14" spans="1:6" ht="19" customHeight="1">
      <c r="A14" s="4" t="s">
        <v>8</v>
      </c>
      <c r="B14" s="4">
        <v>4799</v>
      </c>
      <c r="C14" s="5">
        <v>50002</v>
      </c>
      <c r="D14" s="4">
        <v>4554</v>
      </c>
      <c r="E14" s="6">
        <v>0.12263033175355451</v>
      </c>
      <c r="F14" s="19" t="s">
        <v>9</v>
      </c>
    </row>
    <row r="15" spans="1:6" ht="19" customHeight="1">
      <c r="A15" s="4" t="s">
        <v>18</v>
      </c>
      <c r="B15" s="4">
        <v>140</v>
      </c>
      <c r="C15" s="5">
        <v>53129</v>
      </c>
      <c r="D15" s="4">
        <v>124</v>
      </c>
      <c r="E15" s="6">
        <v>0.1172022684310019</v>
      </c>
      <c r="F15" s="19" t="s">
        <v>19</v>
      </c>
    </row>
    <row r="16" spans="1:6" ht="19" customHeight="1">
      <c r="A16" s="4" t="s">
        <v>24</v>
      </c>
      <c r="B16" s="4">
        <v>865</v>
      </c>
      <c r="C16" s="5">
        <v>51534</v>
      </c>
      <c r="D16" s="4">
        <v>774</v>
      </c>
      <c r="E16" s="6">
        <v>8.8771648124784955E-2</v>
      </c>
      <c r="F16" s="19" t="s">
        <v>25</v>
      </c>
    </row>
    <row r="17" spans="1:6" ht="19" customHeight="1">
      <c r="A17" s="4" t="s">
        <v>30</v>
      </c>
      <c r="B17" s="4">
        <v>133</v>
      </c>
      <c r="C17" s="5">
        <v>64392</v>
      </c>
      <c r="D17" s="4">
        <v>36</v>
      </c>
      <c r="E17" s="6">
        <v>2.5263157894736842E-2</v>
      </c>
      <c r="F17" s="19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CTE Alignment</vt:lpstr>
      <vt:lpstr>Labor Demand</vt:lpstr>
      <vt:lpstr>'Labor Demand'!Print_Titles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Hartzog, Joshua</cp:lastModifiedBy>
  <dcterms:created xsi:type="dcterms:W3CDTF">2025-09-22T18:56:28Z</dcterms:created>
  <dcterms:modified xsi:type="dcterms:W3CDTF">2026-10-21T21:56:25Z</dcterms:modified>
</cp:coreProperties>
</file>